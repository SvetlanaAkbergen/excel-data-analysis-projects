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50E161D-3BEB-4BC3-A2B6-52CD8FAC0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данных'!$A$1:$E$624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" l="1" a="1"/>
  <c r="D26" i="2" s="1"/>
  <c r="F26" i="2" s="1"/>
  <c r="C27" i="2" s="1"/>
  <c r="D25" i="2" a="1"/>
  <c r="D25" i="2" s="1"/>
  <c r="F25" i="2" s="1"/>
  <c r="C26" i="2" s="1"/>
  <c r="B26" i="2" s="1"/>
  <c r="D24" i="2" a="1"/>
  <c r="D24" i="2" s="1"/>
  <c r="F24" i="2" s="1"/>
  <c r="C25" i="2" s="1"/>
  <c r="B25" i="2" s="1"/>
  <c r="D23" i="2"/>
  <c r="F23" i="2" s="1"/>
  <c r="C24" i="2" s="1"/>
  <c r="B24" i="2" s="1"/>
  <c r="D22" i="2"/>
  <c r="A4" i="4"/>
  <c r="F22" i="2"/>
  <c r="C23" i="2" s="1"/>
  <c r="B23" i="2" s="1"/>
  <c r="A5" i="4"/>
  <c r="D21" i="2"/>
  <c r="F21" i="2" s="1"/>
  <c r="C22" i="2" s="1"/>
  <c r="B22" i="2" s="1"/>
  <c r="D20" i="2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/>
  <c r="C14" i="2" s="1"/>
  <c r="B14" i="2" s="1"/>
  <c r="D12" i="2"/>
  <c r="F12" i="2" s="1"/>
  <c r="C13" i="2" s="1"/>
  <c r="B13" i="2" s="1"/>
  <c r="D11" i="2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D5" i="2"/>
  <c r="F5" i="2"/>
  <c r="C6" i="2" s="1"/>
  <c r="B6" i="2" s="1"/>
  <c r="D4" i="2"/>
  <c r="F4" i="2" s="1"/>
  <c r="C5" i="2" s="1"/>
  <c r="B5" i="2" s="1"/>
  <c r="D3" i="2"/>
  <c r="F3" i="2"/>
  <c r="C4" i="2" s="1"/>
  <c r="B4" i="2" s="1"/>
  <c r="H380" i="1"/>
  <c r="H388" i="1" a="1"/>
  <c r="H388" i="1" s="1"/>
  <c r="D27" i="2"/>
  <c r="A3" i="4" a="1"/>
  <c r="A3" i="4" s="1"/>
  <c r="A2" i="4"/>
  <c r="A1" i="4"/>
  <c r="F11" i="2"/>
  <c r="C12" i="2" s="1"/>
  <c r="B12" i="2" s="1"/>
  <c r="F6" i="2"/>
  <c r="C7" i="2" s="1"/>
  <c r="B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<sst xmlns="http://schemas.openxmlformats.org/spreadsheetml/2006/main" count="635" uniqueCount="17">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</sst>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1" fontId="0" fillId="0" borderId="0" xfId="0" applyNumberFormat="1"/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22" zoomScale="85" zoomScaleNormal="85" workbookViewId="0">
      <selection activeCell="D27" sqref="D27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данных'!E2:E624)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ROUND(D4/60,1)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данных'!C2:C624,"Внутри сети",'База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данных'!C2:C624,"На других операторов",'База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данных'!D2:D624)*60/SUM('База данных'!E2:E624),2)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ROUND(SUM('База данных'!E2:E624)/COUNTA('База данных'!A2:A624),0)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данных'!B2:B624,5,'База данных'!C2:C624,"На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данных'!B2:B624,1,'База данных'!C2:C624,"На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данных'!C2:C624,"Внутри сети",'База данных'!E2:E624)/SUM('База данных'!E2:E624),4)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данных'!B2:B624,1,'База данных'!D2:D624)/SUM('База данных'!D2:D624),4)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COUNT(_xlfn.UNIQUE('База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COUNT(_xlfn.UNIQUE(_xlfn._xlws.FILTER('База данных'!A2:A624,'База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COUNT(_xlfn.UNIQUE(_xlfn._xlws.FILTER('База данных'!A2:A624,'База данных'!B2:B624=6)))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ROUND(COUNTA(_xlfn.UNIQUE(_xlfn._xlws.FILTER('База данных'!A2:A624,'База данных'!B2:B624=2)))/COUNTA(_xlfn.UNIQUE('База данных'!A2:A624)),4)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ROUND(SUM('База данных'!D2:D624)/COUNTA(_xlfn.UNIQUE('База данных'!A2:A624)),2)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ROUND(SUM('База данных'!E2:E624)/(60*COUNTA(_xlfn.UNIQUE('База данных'!A2:A624))),1)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>
        <f>SUMIF('База данных'!$B$2:$B$624,INDEX('База данных'!$B$2:$B$624,MATCH(77010000055,'База данных'!$A$2:$A$624,0)),'База данных'!$E$2:$E$624)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f>INDEX('База данных'!$A$2:$A$624,MATCH(MAX('База данных'!$D$2:$D$624),'База данных'!$D$2:$D$624,0))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INDEX(_xlfn.UNIQUE(_xlfn._xlws.FILTER('База данных'!$A$2:$A$624,'База данных'!$B$2:$B$624=5)),MATCH(MAX(SUMIFS('База данных'!$E$2:$E$624,'База данных'!$A$2:$A$624,_xlfn.UNIQUE(_xlfn._xlws.FILTER('База данных'!$A$2:$A$624,'База данных'!$B$2:$B$624=5)),'База данных'!$B$2:$B$624,5)),SUMIFS('База данных'!$E$2:$E$624,'База данных'!$A$2:$A$624,_xlfn.UNIQUE(_xlfn._xlws.FILTER('База данных'!$A$2:$A$624,'База данных'!$B$2:$B$624=5)),'База данных'!$B$2:$B$624,5),0))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 cm="1">
        <f t="array" ref="D25">INDEX(_xlfn.UNIQUE('База данных'!$A$2:$A$624),MATCH(LARGE(SUMIFS('База данных'!$D$2:$D$624,'База данных'!$A$2:$A$624,_xlfn.UNIQUE('База данных'!$A$2:$A$624)),7),SUMIFS('База данных'!$D$2:$D$624,'База данных'!$A$2:$A$624,_xlfn.UNIQUE('База данных'!$A$2:$A$624)),0))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tr" cm="1">
        <f t="array" ref="D26">INDEX(_xlfn._xlws.FILTER(_xlfn.UNIQUE('База данных'!$C$2:$C$624),ISERROR(MATCH(_xlfn.UNIQUE('База данных'!$C$2:$C$624),_xlfn.UNIQUE(_xlfn._xlws.FILTER('База данных'!$C$2:$C$624,'База данных'!$B$2:$B$624=6)),0))),1)&amp;", "&amp;INDEX(_xlfn._xlws.FILTER(_xlfn.UNIQUE('База данных'!$C$2:$C$624),ISERROR(MATCH(_xlfn.UNIQUE('База данных'!$C$2:$C$624),_xlfn.UNIQUE(_xlfn._xlws.FILTER('База данных'!$C$2:$C$624,'База данных'!$B$2:$B$624=6)),0))),2)</f>
        <v>На городской, Другое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>Тест пройден. Поздравляем!</v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I25" sqref="I25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</cols>
  <sheetData>
    <row r="1" spans="1:5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3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3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3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3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3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3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3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3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3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3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3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3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3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3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3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E624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5"/>
  <sheetViews>
    <sheetView workbookViewId="0">
      <selection activeCell="A4" sqref="A4"/>
    </sheetView>
  </sheetViews>
  <sheetFormatPr defaultRowHeight="14.4" x14ac:dyDescent="0.3"/>
  <cols>
    <col min="1" max="1" width="10.109375" bestFit="1" customWidth="1"/>
  </cols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  <row r="4" spans="1:1" x14ac:dyDescent="0.3">
      <c r="A4">
        <f>SUMIF('База данных'!$B$2:$B$624,INDEX('База данных'!$B$2:$B$624,MATCH(77010000055,'База данных'!$A$2:$A$624,0)),'База данных'!$E$2:$E$624)</f>
        <v>2705</v>
      </c>
    </row>
    <row r="5" spans="1:1" x14ac:dyDescent="0.3">
      <c r="A5" s="43">
        <f>SUMIF('База данных'!B2:B624,INDEX('База данных'!B2:B624,MATCH(77010000055,'База данных'!A2:A624,0)),'База данных'!E2:E624)</f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СветлаяЯ Акберген</cp:lastModifiedBy>
  <dcterms:created xsi:type="dcterms:W3CDTF">2010-08-09T12:20:19Z</dcterms:created>
  <dcterms:modified xsi:type="dcterms:W3CDTF">2026-10-04T14:41:45Z</dcterms:modified>
</cp:coreProperties>
</file>